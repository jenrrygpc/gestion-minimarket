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ersonal\gestion-minimarket\documentos\"/>
    </mc:Choice>
  </mc:AlternateContent>
  <xr:revisionPtr revIDLastSave="0" documentId="13_ncr:1_{7B5B5AE6-59E9-44C8-9A8E-DBCF5BF37FF2}" xr6:coauthVersionLast="47" xr6:coauthVersionMax="47" xr10:uidLastSave="{00000000-0000-0000-0000-000000000000}"/>
  <bookViews>
    <workbookView xWindow="-110" yWindow="-110" windowWidth="19420" windowHeight="11500" activeTab="3" xr2:uid="{90DC8E08-B72D-4FE1-934B-5D8DD9EE30BB}"/>
  </bookViews>
  <sheets>
    <sheet name="Registro Producto" sheetId="7" r:id="rId1"/>
    <sheet name="Set de pruebas" sheetId="8" r:id="rId2"/>
    <sheet name="Prueba1" sheetId="9" r:id="rId3"/>
    <sheet name="Prueba_15122025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9" l="1"/>
  <c r="C37" i="9"/>
  <c r="C3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Jenrry Pena Cacya</author>
  </authors>
  <commentList>
    <comment ref="D4" authorId="0" shapeId="0" xr:uid="{F0E436EC-E16D-44EE-8B4E-88C168F8A7B8}">
      <text>
        <r>
          <rPr>
            <b/>
            <sz val="9"/>
            <color indexed="81"/>
            <rFont val="Tahoma"/>
            <charset val="1"/>
          </rPr>
          <t>Jenrry Pena Cacya:</t>
        </r>
        <r>
          <rPr>
            <sz val="9"/>
            <color indexed="81"/>
            <rFont val="Tahoma"/>
            <charset val="1"/>
          </rPr>
          <t xml:space="preserve">
Detergente ACE 750 gr.</t>
        </r>
      </text>
    </comment>
    <comment ref="G4" authorId="0" shapeId="0" xr:uid="{9084F88C-F9C3-499D-9ADD-56C0BCD3B7DD}">
      <text>
        <r>
          <rPr>
            <b/>
            <sz val="9"/>
            <color indexed="81"/>
            <rFont val="Tahoma"/>
            <charset val="1"/>
          </rPr>
          <t>Jenrry Pena Cacya:</t>
        </r>
        <r>
          <rPr>
            <sz val="9"/>
            <color indexed="81"/>
            <rFont val="Tahoma"/>
            <charset val="1"/>
          </rPr>
          <t xml:space="preserve">
13</t>
        </r>
      </text>
    </comment>
    <comment ref="C13" authorId="0" shapeId="0" xr:uid="{A45FF080-2294-46E2-B896-A12D5E640C86}">
      <text>
        <r>
          <rPr>
            <b/>
            <sz val="9"/>
            <color indexed="81"/>
            <rFont val="Tahoma"/>
            <charset val="1"/>
          </rPr>
          <t>Jenrry Pena Cacya:</t>
        </r>
        <r>
          <rPr>
            <sz val="9"/>
            <color indexed="81"/>
            <rFont val="Tahoma"/>
            <charset val="1"/>
          </rPr>
          <t xml:space="preserve">
6</t>
        </r>
      </text>
    </comment>
    <comment ref="D13" authorId="0" shapeId="0" xr:uid="{13657795-44EE-423F-B770-C82CEEA69CF4}">
      <text>
        <r>
          <rPr>
            <b/>
            <sz val="9"/>
            <color indexed="81"/>
            <rFont val="Tahoma"/>
            <charset val="1"/>
          </rPr>
          <t>Jenrry Pena Cacya:</t>
        </r>
        <r>
          <rPr>
            <sz val="9"/>
            <color indexed="81"/>
            <rFont val="Tahoma"/>
            <charset val="1"/>
          </rPr>
          <t xml:space="preserve">
13</t>
        </r>
      </text>
    </comment>
  </commentList>
</comments>
</file>

<file path=xl/sharedStrings.xml><?xml version="1.0" encoding="utf-8"?>
<sst xmlns="http://schemas.openxmlformats.org/spreadsheetml/2006/main" count="99" uniqueCount="66">
  <si>
    <t>description</t>
  </si>
  <si>
    <t>price</t>
  </si>
  <si>
    <t>stock</t>
  </si>
  <si>
    <t>code</t>
  </si>
  <si>
    <t>Caja</t>
  </si>
  <si>
    <t>display</t>
  </si>
  <si>
    <t>category</t>
  </si>
  <si>
    <t>measure</t>
  </si>
  <si>
    <t>productsv2</t>
  </si>
  <si>
    <t>_id</t>
  </si>
  <si>
    <t>basePrice</t>
  </si>
  <si>
    <t>baseCost</t>
  </si>
  <si>
    <t>692112c1c70de3d804ad72a7</t>
  </si>
  <si>
    <t>UN</t>
  </si>
  <si>
    <t>detergente ACE</t>
  </si>
  <si>
    <t>Bolsa</t>
  </si>
  <si>
    <t>LIMPIEZA</t>
  </si>
  <si>
    <t>69211329c70de3d804ad72b1</t>
  </si>
  <si>
    <t>Aceite Primor premium 900 ml</t>
  </si>
  <si>
    <t>Botella</t>
  </si>
  <si>
    <t>ABARROTES</t>
  </si>
  <si>
    <t>69211651c70de3d804ad72f3</t>
  </si>
  <si>
    <t>Chocolate Vizio 69g</t>
  </si>
  <si>
    <t>GOLOSINAS</t>
  </si>
  <si>
    <t>6921168fc70de3d804ad7301</t>
  </si>
  <si>
    <t>KL</t>
  </si>
  <si>
    <t>Papa blanca</t>
  </si>
  <si>
    <t>Granel</t>
  </si>
  <si>
    <t>LEGUMBRES</t>
  </si>
  <si>
    <t>69211945c70de3d804ad732f</t>
  </si>
  <si>
    <t>Pollo</t>
  </si>
  <si>
    <t>CARNES</t>
  </si>
  <si>
    <t>productstocks</t>
  </si>
  <si>
    <t>productId</t>
  </si>
  <si>
    <t>minimumStock</t>
  </si>
  <si>
    <t>averageCost</t>
  </si>
  <si>
    <t>lastCost</t>
  </si>
  <si>
    <t>inventories</t>
  </si>
  <si>
    <t>transactionType</t>
  </si>
  <si>
    <t>quantity</t>
  </si>
  <si>
    <t>cost</t>
  </si>
  <si>
    <t>previousStock</t>
  </si>
  <si>
    <t>newStock</t>
  </si>
  <si>
    <t>document</t>
  </si>
  <si>
    <t>notes</t>
  </si>
  <si>
    <t>ENTRADA</t>
  </si>
  <si>
    <t>APERTURA</t>
  </si>
  <si>
    <t>Inventario inicial del producto</t>
  </si>
  <si>
    <t>Registro de producto</t>
  </si>
  <si>
    <t>Test</t>
  </si>
  <si>
    <t>Estado</t>
  </si>
  <si>
    <t>Comentario</t>
  </si>
  <si>
    <t>Consultar Producto</t>
  </si>
  <si>
    <t>TERMINADO</t>
  </si>
  <si>
    <t>No se muestra el costo, pero si se muestra el costo promedio.</t>
  </si>
  <si>
    <t>Actualizar Producto</t>
  </si>
  <si>
    <t>Registro de inventario</t>
  </si>
  <si>
    <t>Antes del cambio</t>
  </si>
  <si>
    <t>Despues del cambio:</t>
  </si>
  <si>
    <t>averagecost</t>
  </si>
  <si>
    <t>Entrada por compra sin cambio de costo y precio</t>
  </si>
  <si>
    <t>Entrada por compra con cambio de costo y precio</t>
  </si>
  <si>
    <t>Entrada por traslado de producto</t>
  </si>
  <si>
    <t>Entrada por devolucion de producto</t>
  </si>
  <si>
    <t>Limpiamos todos los registros de producto, productostock e inventario</t>
  </si>
  <si>
    <t>Se realiza la siguiente compra: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</si>
</sst>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6</xdr:col>
      <xdr:colOff>666751</xdr:colOff>
      <xdr:row>12</xdr:row>
      <xdr:rowOff>159813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845353-7B3D-EA88-046B-721E4943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552450"/>
          <a:ext cx="4476750" cy="18171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1</xdr:rowOff>
    </xdr:from>
    <xdr:to>
      <xdr:col>6</xdr:col>
      <xdr:colOff>298450</xdr:colOff>
      <xdr:row>26</xdr:row>
      <xdr:rowOff>82959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34AC57-B741-5293-F9DF-51AA22232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946401"/>
          <a:ext cx="4108450" cy="192445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40</xdr:row>
      <xdr:rowOff>0</xdr:rowOff>
    </xdr:from>
    <xdr:to>
      <xdr:col>5</xdr:col>
      <xdr:colOff>558801</xdr:colOff>
      <xdr:row>50</xdr:row>
      <xdr:rowOff>162881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62C953-176E-BF92-A9CE-67719AFF9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1" y="7366000"/>
          <a:ext cx="3606800" cy="2004381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53</xdr:row>
      <xdr:rowOff>53648</xdr:rowOff>
    </xdr:from>
    <xdr:to>
      <xdr:col>5</xdr:col>
      <xdr:colOff>755483</xdr:colOff>
      <xdr:row>64</xdr:row>
      <xdr:rowOff>165100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469097-8271-B641-0B20-706E3E13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800" y="9813598"/>
          <a:ext cx="3752683" cy="2137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1</xdr:rowOff>
    </xdr:from>
    <xdr:to>
      <xdr:col>5</xdr:col>
      <xdr:colOff>51829</xdr:colOff>
      <xdr:row>17</xdr:row>
      <xdr:rowOff>69851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205219-B8E5-EC5E-311D-13E3E4461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52451"/>
          <a:ext cx="3861828" cy="2647950"/>
        </a:xfrm>
        <a:prstGeom prst="rect">
          <a:avLst/>
        </a:prstGeom>
      </xdr:spPr>
    </xdr:pic>
    <xdr:clientData/>
  </xdr:twoCellAnchor>
  <xdr:twoCellAnchor editAs="oneCell">
    <xdr:from>
      <xdr:col>5</xdr:col>
      <xdr:colOff>298450</xdr:colOff>
      <xdr:row>3</xdr:row>
      <xdr:rowOff>20017</xdr:rowOff>
    </xdr:from>
    <xdr:to>
      <xdr:col>10</xdr:col>
      <xdr:colOff>419100</xdr:colOff>
      <xdr:row>17</xdr:row>
      <xdr:rowOff>121351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3A3244-58CB-0DF7-52F8-F00816F1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8450" y="572467"/>
          <a:ext cx="3930650" cy="2679434"/>
        </a:xfrm>
        <a:prstGeom prst="rect">
          <a:avLst/>
        </a:prstGeom>
      </xdr:spPr>
    </xdr:pic>
    <xdr:clientData/>
  </xdr:twoCellAnchor>
  <xdr:twoCellAnchor editAs="oneCell">
    <xdr:from>
      <xdr:col>10</xdr:col>
      <xdr:colOff>431799</xdr:colOff>
      <xdr:row>2</xdr:row>
      <xdr:rowOff>107950</xdr:rowOff>
    </xdr:from>
    <xdr:to>
      <xdr:col>17</xdr:col>
      <xdr:colOff>452141</xdr:colOff>
      <xdr:row>21</xdr:row>
      <xdr:rowOff>178661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A46726-41FE-4FB8-90F2-D679AF595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1799" y="476250"/>
          <a:ext cx="5354342" cy="3569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32842</xdr:rowOff>
    </xdr:from>
    <xdr:to>
      <xdr:col>6</xdr:col>
      <xdr:colOff>387350</xdr:colOff>
      <xdr:row>30</xdr:row>
      <xdr:rowOff>177283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2406E1-5CF3-1DA5-307E-127B4CAE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99992"/>
          <a:ext cx="4959350" cy="1801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9331-3EAD-4549-87E5-14F8B2BBCE9A}">
  <dimension ref="A2:I26"/>
  <sheetViews>
    <sheetView workbookViewId="0">
      <selection activeCell="H4" sqref="H4"/>
    </sheetView>
  </sheetViews>
  <sheetFormatPr baseColWidth="10" defaultRowHeight="14.5" x14ac:dyDescent="0.35"/>
  <cols>
    <col min="1" max="1" width="25.1796875" bestFit="1" customWidth="1"/>
    <col min="3" max="3" width="13.36328125" bestFit="1" customWidth="1"/>
    <col min="4" max="4" width="41.90625" customWidth="1"/>
    <col min="9" max="9" width="25.81640625" bestFit="1" customWidth="1"/>
  </cols>
  <sheetData>
    <row r="2" spans="1:8" x14ac:dyDescent="0.35">
      <c r="A2" t="s">
        <v>8</v>
      </c>
    </row>
    <row r="3" spans="1:8" x14ac:dyDescent="0.35">
      <c r="A3" s="2" t="s">
        <v>9</v>
      </c>
      <c r="B3" s="2" t="s">
        <v>3</v>
      </c>
      <c r="C3" s="2" t="s">
        <v>7</v>
      </c>
      <c r="D3" s="2" t="s">
        <v>0</v>
      </c>
      <c r="E3" s="2" t="s">
        <v>5</v>
      </c>
      <c r="F3" s="2" t="s">
        <v>6</v>
      </c>
      <c r="G3" s="2" t="s">
        <v>10</v>
      </c>
      <c r="H3" s="2" t="s">
        <v>11</v>
      </c>
    </row>
    <row r="4" spans="1:8" x14ac:dyDescent="0.35">
      <c r="A4" s="1" t="s">
        <v>12</v>
      </c>
      <c r="B4" s="1">
        <v>1001</v>
      </c>
      <c r="C4" s="1" t="s">
        <v>13</v>
      </c>
      <c r="D4" s="3" t="s">
        <v>14</v>
      </c>
      <c r="E4" s="1" t="s">
        <v>15</v>
      </c>
      <c r="F4" s="1" t="s">
        <v>16</v>
      </c>
      <c r="G4" s="3">
        <v>12</v>
      </c>
      <c r="H4" s="1">
        <v>10</v>
      </c>
    </row>
    <row r="5" spans="1:8" x14ac:dyDescent="0.35">
      <c r="A5" s="1" t="s">
        <v>17</v>
      </c>
      <c r="B5" s="1">
        <v>1002</v>
      </c>
      <c r="C5" s="1" t="s">
        <v>13</v>
      </c>
      <c r="D5" s="1" t="s">
        <v>18</v>
      </c>
      <c r="E5" s="1" t="s">
        <v>19</v>
      </c>
      <c r="F5" s="1" t="s">
        <v>20</v>
      </c>
      <c r="G5" s="1">
        <v>10.5</v>
      </c>
      <c r="H5" s="1">
        <v>9</v>
      </c>
    </row>
    <row r="6" spans="1:8" x14ac:dyDescent="0.35">
      <c r="A6" s="1" t="s">
        <v>21</v>
      </c>
      <c r="B6" s="1">
        <v>7001</v>
      </c>
      <c r="C6" s="1" t="s">
        <v>13</v>
      </c>
      <c r="D6" s="1" t="s">
        <v>22</v>
      </c>
      <c r="E6" s="1" t="s">
        <v>4</v>
      </c>
      <c r="F6" s="1" t="s">
        <v>23</v>
      </c>
      <c r="G6" s="1">
        <v>5</v>
      </c>
      <c r="H6" s="1">
        <v>4</v>
      </c>
    </row>
    <row r="7" spans="1:8" x14ac:dyDescent="0.35">
      <c r="A7" s="1" t="s">
        <v>24</v>
      </c>
      <c r="B7" s="1">
        <v>76001</v>
      </c>
      <c r="C7" s="1" t="s">
        <v>25</v>
      </c>
      <c r="D7" s="1" t="s">
        <v>26</v>
      </c>
      <c r="E7" s="1" t="s">
        <v>27</v>
      </c>
      <c r="F7" s="1" t="s">
        <v>28</v>
      </c>
      <c r="G7" s="1">
        <v>2</v>
      </c>
      <c r="H7" s="1">
        <v>1.5</v>
      </c>
    </row>
    <row r="8" spans="1:8" x14ac:dyDescent="0.35">
      <c r="A8" s="1" t="s">
        <v>29</v>
      </c>
      <c r="B8" s="1">
        <v>30001</v>
      </c>
      <c r="C8" s="1" t="s">
        <v>25</v>
      </c>
      <c r="D8" s="1" t="s">
        <v>30</v>
      </c>
      <c r="E8" s="1" t="s">
        <v>27</v>
      </c>
      <c r="F8" s="1" t="s">
        <v>31</v>
      </c>
      <c r="G8" s="1">
        <v>6</v>
      </c>
      <c r="H8" s="1">
        <v>5</v>
      </c>
    </row>
    <row r="11" spans="1:8" x14ac:dyDescent="0.35">
      <c r="A11" t="s">
        <v>32</v>
      </c>
    </row>
    <row r="12" spans="1:8" x14ac:dyDescent="0.35">
      <c r="A12" s="2" t="s">
        <v>33</v>
      </c>
      <c r="B12" s="2" t="s">
        <v>2</v>
      </c>
      <c r="C12" s="2" t="s">
        <v>34</v>
      </c>
      <c r="D12" s="2" t="s">
        <v>1</v>
      </c>
      <c r="E12" s="2" t="s">
        <v>35</v>
      </c>
      <c r="F12" s="2" t="s">
        <v>36</v>
      </c>
    </row>
    <row r="13" spans="1:8" x14ac:dyDescent="0.35">
      <c r="A13" s="1" t="s">
        <v>12</v>
      </c>
      <c r="B13" s="1">
        <v>12</v>
      </c>
      <c r="C13" s="3">
        <v>5</v>
      </c>
      <c r="D13" s="3">
        <v>12</v>
      </c>
      <c r="E13" s="1">
        <v>10</v>
      </c>
      <c r="F13" s="1">
        <v>10</v>
      </c>
    </row>
    <row r="14" spans="1:8" x14ac:dyDescent="0.35">
      <c r="A14" s="1" t="s">
        <v>17</v>
      </c>
      <c r="B14" s="1">
        <v>12</v>
      </c>
      <c r="C14" s="1">
        <v>5</v>
      </c>
      <c r="D14" s="1">
        <v>10.5</v>
      </c>
      <c r="E14" s="1">
        <v>9</v>
      </c>
      <c r="F14" s="1">
        <v>9</v>
      </c>
    </row>
    <row r="15" spans="1:8" x14ac:dyDescent="0.35">
      <c r="A15" s="1" t="s">
        <v>21</v>
      </c>
      <c r="B15" s="1">
        <v>10</v>
      </c>
      <c r="C15" s="1">
        <v>5</v>
      </c>
      <c r="D15" s="1">
        <v>5</v>
      </c>
      <c r="E15" s="1">
        <v>4</v>
      </c>
      <c r="F15" s="1">
        <v>4</v>
      </c>
    </row>
    <row r="16" spans="1:8" x14ac:dyDescent="0.35">
      <c r="A16" s="1" t="s">
        <v>24</v>
      </c>
      <c r="B16" s="1">
        <v>50</v>
      </c>
      <c r="C16" s="1">
        <v>10</v>
      </c>
      <c r="D16" s="1">
        <v>2</v>
      </c>
      <c r="E16" s="1">
        <v>1.5</v>
      </c>
      <c r="F16" s="1">
        <v>1.5</v>
      </c>
    </row>
    <row r="17" spans="1:9" x14ac:dyDescent="0.35">
      <c r="A17" s="1" t="s">
        <v>29</v>
      </c>
      <c r="B17" s="1">
        <v>20</v>
      </c>
      <c r="C17" s="1">
        <v>5</v>
      </c>
      <c r="D17" s="1">
        <v>6</v>
      </c>
      <c r="E17" s="1">
        <v>5</v>
      </c>
      <c r="F17" s="1">
        <v>5</v>
      </c>
    </row>
    <row r="20" spans="1:9" x14ac:dyDescent="0.35">
      <c r="A20" t="s">
        <v>37</v>
      </c>
    </row>
    <row r="21" spans="1:9" x14ac:dyDescent="0.35">
      <c r="A21" s="2" t="s">
        <v>33</v>
      </c>
      <c r="B21" s="2" t="s">
        <v>38</v>
      </c>
      <c r="C21" s="2" t="s">
        <v>39</v>
      </c>
      <c r="D21" s="2" t="s">
        <v>1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44</v>
      </c>
    </row>
    <row r="22" spans="1:9" x14ac:dyDescent="0.35">
      <c r="A22" s="1" t="s">
        <v>12</v>
      </c>
      <c r="B22" s="1" t="s">
        <v>45</v>
      </c>
      <c r="C22" s="1">
        <v>12</v>
      </c>
      <c r="D22" s="1">
        <v>12</v>
      </c>
      <c r="E22" s="1">
        <v>10</v>
      </c>
      <c r="F22" s="1">
        <v>0</v>
      </c>
      <c r="G22" s="1">
        <v>12</v>
      </c>
      <c r="H22" s="1" t="s">
        <v>46</v>
      </c>
      <c r="I22" s="1" t="s">
        <v>47</v>
      </c>
    </row>
    <row r="23" spans="1:9" x14ac:dyDescent="0.35">
      <c r="A23" s="1" t="s">
        <v>17</v>
      </c>
      <c r="B23" s="1" t="s">
        <v>45</v>
      </c>
      <c r="C23" s="1">
        <v>12</v>
      </c>
      <c r="D23" s="1">
        <v>10.5</v>
      </c>
      <c r="E23" s="1">
        <v>9</v>
      </c>
      <c r="F23" s="1">
        <v>0</v>
      </c>
      <c r="G23" s="1">
        <v>12</v>
      </c>
      <c r="H23" s="1" t="s">
        <v>46</v>
      </c>
      <c r="I23" s="1" t="s">
        <v>47</v>
      </c>
    </row>
    <row r="24" spans="1:9" x14ac:dyDescent="0.35">
      <c r="A24" s="1" t="s">
        <v>21</v>
      </c>
      <c r="B24" s="1" t="s">
        <v>45</v>
      </c>
      <c r="C24" s="1">
        <v>10</v>
      </c>
      <c r="D24" s="1">
        <v>5</v>
      </c>
      <c r="E24" s="1">
        <v>4</v>
      </c>
      <c r="F24" s="1">
        <v>0</v>
      </c>
      <c r="G24" s="1">
        <v>10</v>
      </c>
      <c r="H24" s="1" t="s">
        <v>46</v>
      </c>
      <c r="I24" s="1" t="s">
        <v>47</v>
      </c>
    </row>
    <row r="25" spans="1:9" x14ac:dyDescent="0.35">
      <c r="A25" s="1" t="s">
        <v>24</v>
      </c>
      <c r="B25" s="1" t="s">
        <v>45</v>
      </c>
      <c r="C25" s="1">
        <v>50</v>
      </c>
      <c r="D25" s="1">
        <v>2</v>
      </c>
      <c r="E25" s="1">
        <v>1.5</v>
      </c>
      <c r="F25" s="1">
        <v>0</v>
      </c>
      <c r="G25" s="1">
        <v>50</v>
      </c>
      <c r="H25" s="1" t="s">
        <v>46</v>
      </c>
      <c r="I25" s="1" t="s">
        <v>47</v>
      </c>
    </row>
    <row r="26" spans="1:9" x14ac:dyDescent="0.35">
      <c r="A26" s="1" t="s">
        <v>29</v>
      </c>
      <c r="B26" s="1" t="s">
        <v>45</v>
      </c>
      <c r="C26" s="1">
        <v>20</v>
      </c>
      <c r="D26" s="1">
        <v>6</v>
      </c>
      <c r="E26" s="1">
        <v>5</v>
      </c>
      <c r="F26" s="1">
        <v>0</v>
      </c>
      <c r="G26" s="1">
        <v>20</v>
      </c>
      <c r="H26" s="1" t="s">
        <v>46</v>
      </c>
      <c r="I26" s="1" t="s">
        <v>47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0CEE-F9B1-4338-A75A-F12C78C4AF7D}">
  <dimension ref="A1:C12"/>
  <sheetViews>
    <sheetView workbookViewId="0">
      <selection activeCell="A13" sqref="A13"/>
    </sheetView>
  </sheetViews>
  <sheetFormatPr baseColWidth="10" defaultRowHeight="14.5" x14ac:dyDescent="0.35"/>
  <cols>
    <col min="1" max="1" width="18.26953125" bestFit="1" customWidth="1"/>
  </cols>
  <sheetData>
    <row r="1" spans="1:3" x14ac:dyDescent="0.35">
      <c r="A1" t="s">
        <v>49</v>
      </c>
      <c r="B1" t="s">
        <v>50</v>
      </c>
      <c r="C1" t="s">
        <v>51</v>
      </c>
    </row>
    <row r="2" spans="1:3" x14ac:dyDescent="0.35">
      <c r="A2" t="s">
        <v>48</v>
      </c>
      <c r="B2" t="s">
        <v>53</v>
      </c>
    </row>
    <row r="3" spans="1:3" x14ac:dyDescent="0.35">
      <c r="A3" t="s">
        <v>52</v>
      </c>
      <c r="B3" t="s">
        <v>53</v>
      </c>
      <c r="C3" t="s">
        <v>54</v>
      </c>
    </row>
    <row r="4" spans="1:3" x14ac:dyDescent="0.35">
      <c r="A4" t="s">
        <v>55</v>
      </c>
      <c r="B4" t="s">
        <v>53</v>
      </c>
    </row>
    <row r="7" spans="1:3" x14ac:dyDescent="0.35">
      <c r="A7" t="s">
        <v>56</v>
      </c>
    </row>
    <row r="9" spans="1:3" x14ac:dyDescent="0.35">
      <c r="A9" t="s">
        <v>60</v>
      </c>
    </row>
    <row r="10" spans="1:3" x14ac:dyDescent="0.35">
      <c r="A10" t="s">
        <v>61</v>
      </c>
    </row>
    <row r="11" spans="1:3" x14ac:dyDescent="0.35">
      <c r="A11" t="s">
        <v>62</v>
      </c>
    </row>
    <row r="12" spans="1:3" x14ac:dyDescent="0.35">
      <c r="A1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5952-35AE-4A2D-8DEB-F641978940A0}">
  <dimension ref="B2:C38"/>
  <sheetViews>
    <sheetView workbookViewId="0">
      <selection activeCell="C38" sqref="C38"/>
    </sheetView>
  </sheetViews>
  <sheetFormatPr baseColWidth="10" defaultRowHeight="14.5" x14ac:dyDescent="0.35"/>
  <sheetData>
    <row r="2" spans="2:3" x14ac:dyDescent="0.35">
      <c r="B2" t="s">
        <v>57</v>
      </c>
    </row>
    <row r="4" spans="2:3" x14ac:dyDescent="0.35">
      <c r="C4" s="4"/>
    </row>
    <row r="15" spans="2:3" x14ac:dyDescent="0.35">
      <c r="B15" t="s">
        <v>58</v>
      </c>
    </row>
    <row r="29" spans="2:3" x14ac:dyDescent="0.35">
      <c r="B29" t="s">
        <v>2</v>
      </c>
      <c r="C29">
        <v>36</v>
      </c>
    </row>
    <row r="30" spans="2:3" x14ac:dyDescent="0.35">
      <c r="B30" t="s">
        <v>1</v>
      </c>
      <c r="C30">
        <v>14</v>
      </c>
    </row>
    <row r="31" spans="2:3" x14ac:dyDescent="0.35">
      <c r="B31" t="s">
        <v>59</v>
      </c>
      <c r="C31">
        <v>10.4</v>
      </c>
    </row>
    <row r="32" spans="2:3" x14ac:dyDescent="0.35">
      <c r="B32" t="s">
        <v>36</v>
      </c>
      <c r="C32">
        <v>12</v>
      </c>
    </row>
    <row r="35" spans="3:3" x14ac:dyDescent="0.35">
      <c r="C35">
        <v>42</v>
      </c>
    </row>
    <row r="36" spans="3:3" x14ac:dyDescent="0.35">
      <c r="C36">
        <f>36*10.4</f>
        <v>374.40000000000003</v>
      </c>
    </row>
    <row r="37" spans="3:3" x14ac:dyDescent="0.35">
      <c r="C37">
        <f>6*11</f>
        <v>66</v>
      </c>
    </row>
    <row r="38" spans="3:3" x14ac:dyDescent="0.35">
      <c r="C38">
        <f>(C36+C37)/C35</f>
        <v>10.485714285714286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F9E4-3D74-4414-9E3A-B72526D90EDC}">
  <dimension ref="A2:A21"/>
  <sheetViews>
    <sheetView tabSelected="1" workbookViewId="0">
      <selection activeCell="G21" sqref="G21"/>
    </sheetView>
  </sheetViews>
  <sheetFormatPr baseColWidth="10" defaultRowHeight="14.5" x14ac:dyDescent="0.35"/>
  <sheetData>
    <row r="2" spans="1:1" x14ac:dyDescent="0.35">
      <c r="A2" t="s">
        <v>64</v>
      </c>
    </row>
    <row r="21" spans="1:1" x14ac:dyDescent="0.35">
      <c r="A21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 Producto</vt:lpstr>
      <vt:lpstr>Set de pruebas</vt:lpstr>
      <vt:lpstr>Prueba1</vt:lpstr>
      <vt:lpstr>Prueba_15122025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Jenrry Pena Cacya</dc:creator>
  <cp:lastModifiedBy>Jenrry Pena Cacya</cp:lastModifiedBy>
  <dcterms:created xsi:type="dcterms:W3CDTF">2023-01-29T21:58:23Z</dcterms:created>
  <dcterms:modified xsi:type="dcterms:W3CDTF">2025-12-16T21:17:09Z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1-Internal Use</vt:lpwstr>
  </property>
  <property fmtid="{D5CDD505-2E9C-101B-9397-08002B2CF9AE}" pid="3" name="MSIP_Label_76550e5a-0c73-42b6-9904-8fbc82663c0a_Enabled">
    <vt:lpwstr>true</vt:lpwstr>
  </property>
  <property fmtid="{D5CDD505-2E9C-101B-9397-08002B2CF9AE}" pid="4" name="MSIP_Label_76550e5a-0c73-42b6-9904-8fbc82663c0a_SetDate">
    <vt:lpwstr>2025-11-23T13:07:10Z</vt:lpwstr>
  </property>
  <property fmtid="{D5CDD505-2E9C-101B-9397-08002B2CF9AE}" pid="5" name="MSIP_Label_76550e5a-0c73-42b6-9904-8fbc82663c0a_Method">
    <vt:lpwstr>Standard</vt:lpwstr>
  </property>
  <property fmtid="{D5CDD505-2E9C-101B-9397-08002B2CF9AE}" pid="6" name="MSIP_Label_76550e5a-0c73-42b6-9904-8fbc82663c0a_Name">
    <vt:lpwstr>Uso Interno</vt:lpwstr>
  </property>
  <property fmtid="{D5CDD505-2E9C-101B-9397-08002B2CF9AE}" pid="7" name="MSIP_Label_76550e5a-0c73-42b6-9904-8fbc82663c0a_SiteId">
    <vt:lpwstr>1682654c-afff-4760-8e95-b9d57482d7d0</vt:lpwstr>
  </property>
  <property fmtid="{D5CDD505-2E9C-101B-9397-08002B2CF9AE}" pid="8" name="MSIP_Label_76550e5a-0c73-42b6-9904-8fbc82663c0a_ActionId">
    <vt:lpwstr>a02b7c7c-ced6-41fc-b0aa-70a2283a23fe</vt:lpwstr>
  </property>
  <property fmtid="{D5CDD505-2E9C-101B-9397-08002B2CF9AE}" pid="9" name="MSIP_Label_76550e5a-0c73-42b6-9904-8fbc82663c0a_ContentBits">
    <vt:lpwstr>0</vt:lpwstr>
  </property>
  <property fmtid="{D5CDD505-2E9C-101B-9397-08002B2CF9AE}" pid="10" name="MSIP_Label_76550e5a-0c73-42b6-9904-8fbc82663c0a_Tag">
    <vt:lpwstr>10, 3, 0, 1</vt:lpwstr>
  </property>
</Properties>
</file>